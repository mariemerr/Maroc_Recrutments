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uel" sheetId="1" r:id="rId4"/>
    <sheet state="visible" name="Annotations" sheetId="2" r:id="rId5"/>
  </sheets>
  <definedNames/>
  <calcPr/>
</workbook>
</file>

<file path=xl/sharedStrings.xml><?xml version="1.0" encoding="utf-8"?>
<sst xmlns="http://schemas.openxmlformats.org/spreadsheetml/2006/main" count="42" uniqueCount="37">
  <si>
    <t>Années</t>
  </si>
  <si>
    <t>Sans diplôme </t>
  </si>
  <si>
    <t>Ayant un diplôme:  Niveau moyen </t>
  </si>
  <si>
    <t>Ayant un diplôme:  Niveau supérieur </t>
  </si>
  <si>
    <t>Ensemble 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</si>
  <si>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</si>
  <si>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</si>
  <si>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</si>
  <si>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</si>
  <si>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</si>
  <si>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</si>
  <si>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</si>
  <si>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</si>
  <si>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</si>
  <si>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</si>
  <si>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</si>
  <si>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</si>
  <si>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</si>
  <si>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</si>
  <si>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</si>
  <si>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</si>
  <si>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</si>
  <si>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</si>
  <si>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</si>
  <si>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</si>
  <si>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</si>
  <si>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</si>
  <si>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</si>
  <si>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</si>
  <si>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</si>
  <si>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</si>
  <si>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 xml:space="preserve">Source : Enquête nationale sur l'emploi, Haut Commissariat au Plan. </t>
  </si>
  <si>
    <t>Trimestres</t>
  </si>
  <si>
    <t>Sans diplôme</t>
  </si>
  <si>
    <t>Ayant un diplôme: Niveau moyen</t>
  </si>
  <si>
    <t>Ayant un diplôme: Niveau supérieur</t>
  </si>
  <si>
    <t>Ensemble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</si>
</sst>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#,##0.0"/>
  </numFmts>
  <fonts count="9">
    <font>
      <sz val="10.0"/>
      <color rgb="FF000000"/>
      <name val="Arial"/>
    </font>
    <font/>
    <font>
      <b/>
      <sz val="8.0"/>
      <color rgb="FFD2691E"/>
      <name val="Tahoma"/>
    </font>
    <font>
      <b/>
      <sz val="8.0"/>
      <color rgb="FF808080"/>
      <name val="Tahoma"/>
    </font>
    <font>
      <b/>
      <sz val="8.0"/>
      <color rgb="FFDD7E6B"/>
      <name val="Tahoma"/>
    </font>
    <font>
      <sz val="8.0"/>
      <name val="Tahoma"/>
    </font>
    <font>
      <sz val="8.0"/>
      <color rgb="FF000000"/>
      <name val="Tahoma"/>
    </font>
    <font>
      <b/>
      <sz val="8.0"/>
      <color rgb="FF000000"/>
      <name val="Tahoma"/>
    </font>
    <font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FF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2" numFmtId="0" xfId="0" applyAlignment="1" applyFont="1">
      <alignment horizontal="center" readingOrder="0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0" fillId="2" fontId="3" numFmtId="49" xfId="0" applyAlignment="1" applyFill="1" applyFont="1" applyNumberFormat="1">
      <alignment horizontal="center" shrinkToFit="0" vertical="bottom" wrapText="1"/>
    </xf>
    <xf borderId="1" fillId="0" fontId="4" numFmtId="49" xfId="0" applyAlignment="1" applyBorder="1" applyFont="1" applyNumberFormat="1">
      <alignment horizontal="center" readingOrder="0" shrinkToFit="0" vertical="center" wrapText="1"/>
    </xf>
    <xf borderId="1" fillId="0" fontId="4" numFmtId="164" xfId="0" applyAlignment="1" applyBorder="1" applyFont="1" applyNumberFormat="1">
      <alignment horizontal="center" shrinkToFit="0" vertical="center" wrapText="1"/>
    </xf>
    <xf borderId="1" fillId="0" fontId="4" numFmtId="164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2" fontId="3" numFmtId="49" xfId="0" applyAlignment="1" applyBorder="1" applyFont="1" applyNumberFormat="1">
      <alignment horizontal="center" readingOrder="0" shrinkToFit="0" vertical="center" wrapText="1"/>
    </xf>
    <xf borderId="2" fillId="0" fontId="5" numFmtId="165" xfId="0" applyAlignment="1" applyBorder="1" applyFont="1" applyNumberFormat="1">
      <alignment horizontal="center" readingOrder="0" shrinkToFit="0" vertical="center" wrapText="1"/>
    </xf>
    <xf borderId="0" fillId="0" fontId="6" numFmtId="164" xfId="0" applyAlignment="1" applyFont="1" applyNumberFormat="1">
      <alignment horizontal="center" shrinkToFit="0" vertical="bottom" wrapText="0"/>
    </xf>
    <xf borderId="1" fillId="2" fontId="3" numFmtId="49" xfId="0" applyAlignment="1" applyBorder="1" applyFont="1" applyNumberFormat="1">
      <alignment horizontal="center" shrinkToFit="0" vertical="center" wrapText="1"/>
    </xf>
    <xf borderId="2" fillId="0" fontId="5" numFmtId="165" xfId="0" applyAlignment="1" applyBorder="1" applyFont="1" applyNumberFormat="1">
      <alignment horizontal="center" shrinkToFit="0" vertical="center" wrapText="1"/>
    </xf>
    <xf borderId="3" fillId="2" fontId="3" numFmtId="49" xfId="0" applyAlignment="1" applyBorder="1" applyFont="1" applyNumberFormat="1">
      <alignment horizontal="center" shrinkToFit="0" vertical="center" wrapText="1"/>
    </xf>
    <xf borderId="4" fillId="0" fontId="5" numFmtId="165" xfId="0" applyAlignment="1" applyBorder="1" applyFont="1" applyNumberFormat="1">
      <alignment horizontal="center" shrinkToFit="0" vertical="center" wrapText="1"/>
    </xf>
    <xf borderId="4" fillId="0" fontId="6" numFmtId="164" xfId="0" applyAlignment="1" applyBorder="1" applyFont="1" applyNumberFormat="1">
      <alignment horizontal="center" shrinkToFit="0" vertical="center" wrapText="0"/>
    </xf>
    <xf borderId="0" fillId="0" fontId="7" numFmtId="0" xfId="0" applyAlignment="1" applyFont="1">
      <alignment horizontal="center" readingOrder="0" shrinkToFit="0" vertical="center" wrapText="1"/>
    </xf>
    <xf borderId="5" fillId="0" fontId="7" numFmtId="49" xfId="0" applyAlignment="1" applyBorder="1" applyFont="1" applyNumberFormat="1">
      <alignment horizontal="center" readingOrder="0" shrinkToFit="0" vertical="center" wrapText="1"/>
    </xf>
    <xf borderId="6" fillId="0" fontId="1" numFmtId="0" xfId="0" applyBorder="1" applyFont="1"/>
    <xf borderId="4" fillId="0" fontId="1" numFmtId="0" xfId="0" applyBorder="1" applyFont="1"/>
    <xf borderId="0" fillId="0" fontId="4" numFmtId="0" xfId="0" applyAlignment="1" applyFont="1">
      <alignment horizontal="center" shrinkToFit="0" vertical="bottom" wrapText="1"/>
    </xf>
    <xf borderId="1" fillId="0" fontId="4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shrinkToFit="0" vertical="bottom" wrapText="1"/>
    </xf>
    <xf borderId="0" fillId="0" fontId="8" numFmtId="0" xfId="0" applyAlignment="1" applyFont="1">
      <alignment vertical="bottom"/>
    </xf>
    <xf borderId="1" fillId="0" fontId="4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Annuel!$C$22</c:f>
            </c:strRef>
          </c:tx>
          <c:spPr>
            <a:ln cmpd="sng" w="19050">
              <a:solidFill>
                <a:srgbClr val="4285F4"/>
              </a:solidFill>
            </a:ln>
          </c:spPr>
          <c:marker>
            <c:symbol val="none"/>
          </c:marker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cat>
            <c:strRef>
              <c:f>Annuel!$B$23:$B$48</c:f>
            </c:strRef>
          </c:cat>
          <c:val>
            <c:numRef>
              <c:f>Annuel!$C$23:$C$48</c:f>
              <c:numCache/>
            </c:numRef>
          </c:val>
          <c:smooth val="0"/>
        </c:ser>
        <c:ser>
          <c:idx val="1"/>
          <c:order val="1"/>
          <c:tx>
            <c:strRef>
              <c:f>Annotations!$H$1</c:f>
            </c:strRef>
          </c:tx>
          <c:spPr>
            <a:ln cmpd="sng" w="19050">
              <a:solidFill>
                <a:srgbClr val="DB4437"/>
              </a:solidFill>
            </a:ln>
          </c:spPr>
          <c:marker>
            <c:symbol val="none"/>
          </c:marker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cat>
            <c:strRef>
              <c:f>Annuel!$B$23:$B$48</c:f>
            </c:strRef>
          </c:cat>
          <c:val>
            <c:numRef>
              <c:f>Annotations!$H$2:$H$23</c:f>
              <c:numCache/>
            </c:numRef>
          </c:val>
          <c:smooth val="0"/>
        </c:ser>
        <c:ser>
          <c:idx val="2"/>
          <c:order val="2"/>
          <c:tx>
            <c:strRef>
              <c:f>Annuel!$D$22</c:f>
            </c:strRef>
          </c:tx>
          <c:spPr>
            <a:ln cmpd="sng" w="19050">
              <a:solidFill>
                <a:srgbClr val="F4B400"/>
              </a:solidFill>
            </a:ln>
          </c:spPr>
          <c:marker>
            <c:symbol val="none"/>
          </c:marker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cat>
            <c:strRef>
              <c:f>Annuel!$B$23:$B$48</c:f>
            </c:strRef>
          </c:cat>
          <c:val>
            <c:numRef>
              <c:f>Annuel!$D$23:$D$48</c:f>
              <c:numCache/>
            </c:numRef>
          </c:val>
          <c:smooth val="0"/>
        </c:ser>
        <c:ser>
          <c:idx val="3"/>
          <c:order val="3"/>
          <c:tx>
            <c:strRef>
              <c:f>Annotations!$I$1</c:f>
            </c:strRef>
          </c:tx>
          <c:spPr>
            <a:ln cmpd="sng" w="19050">
              <a:solidFill>
                <a:srgbClr val="0F9D58"/>
              </a:solidFill>
            </a:ln>
          </c:spPr>
          <c:marker>
            <c:symbol val="none"/>
          </c:marker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cat>
            <c:strRef>
              <c:f>Annuel!$B$23:$B$48</c:f>
            </c:strRef>
          </c:cat>
          <c:val>
            <c:numRef>
              <c:f>Annotations!$I$2:$I$23</c:f>
              <c:numCache/>
            </c:numRef>
          </c:val>
          <c:smooth val="0"/>
        </c:ser>
        <c:axId val="1846270388"/>
        <c:axId val="378262726"/>
      </c:lineChart>
      <c:catAx>
        <c:axId val="18462703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1" sz="1200">
                <a:solidFill>
                  <a:srgbClr val="222222"/>
                </a:solidFill>
                <a:latin typeface="Roboto"/>
              </a:defRPr>
            </a:pPr>
          </a:p>
        </c:txPr>
        <c:crossAx val="378262726"/>
      </c:catAx>
      <c:valAx>
        <c:axId val="378262726"/>
        <c:scaling>
          <c:orientation val="minMax"/>
          <c:max val="3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sz="1200">
                <a:solidFill>
                  <a:srgbClr val="000000"/>
                </a:solidFill>
                <a:latin typeface="Roboto"/>
              </a:defRPr>
            </a:pPr>
          </a:p>
        </c:txPr>
        <c:crossAx val="1846270388"/>
        <c:majorUnit val="5.0"/>
        <c:minorUnit val="2.5"/>
      </c:valAx>
    </c:plotArea>
    <c:legend>
      <c:legendPos val="t"/>
      <c:overlay val="0"/>
      <c:txPr>
        <a:bodyPr/>
        <a:lstStyle/>
        <a:p>
          <a:pPr lvl="0">
            <a:defRPr b="0" sz="140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180975</xdr:colOff>
      <xdr:row>1</xdr:row>
      <xdr:rowOff>0</xdr:rowOff>
    </xdr:from>
    <xdr:ext cx="7067550" cy="3562350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6" width="18.5"/>
    <col customWidth="1" min="7" max="7" width="2.75"/>
  </cols>
  <sheetData>
    <row r="1">
      <c r="B1" s="1"/>
    </row>
    <row r="2">
      <c r="B2" s="1"/>
    </row>
    <row r="3">
      <c r="B3" s="1"/>
    </row>
    <row r="4">
      <c r="B4" s="1"/>
    </row>
    <row r="5">
      <c r="B5" s="1"/>
    </row>
    <row r="6">
      <c r="B6" s="1"/>
    </row>
    <row r="7">
      <c r="B7" s="1"/>
    </row>
    <row r="8">
      <c r="B8" s="1"/>
    </row>
    <row r="9">
      <c r="B9" s="1"/>
    </row>
    <row r="10">
      <c r="B10" s="1"/>
    </row>
    <row r="11">
      <c r="B11" s="1"/>
    </row>
    <row r="12">
      <c r="B12" s="1"/>
    </row>
    <row r="13">
      <c r="B13" s="1"/>
    </row>
    <row r="14">
      <c r="B14" s="1"/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>
      <c r="A21" s="2"/>
      <c r="B21" s="3"/>
      <c r="C21" s="2"/>
      <c r="D21" s="2"/>
      <c r="E21" s="2"/>
      <c r="F21" s="2"/>
      <c r="G21" s="2"/>
    </row>
    <row r="22">
      <c r="A22" s="4"/>
      <c r="B22" s="5" t="s">
        <v>0</v>
      </c>
      <c r="C22" s="6" t="s">
        <v>1</v>
      </c>
      <c r="D22" s="7" t="s">
        <v>2</v>
      </c>
      <c r="E22" s="7" t="s">
        <v>3</v>
      </c>
      <c r="F22" s="8" t="s">
        <v>4</v>
      </c>
      <c r="G22" s="9"/>
    </row>
    <row r="23">
      <c r="A23" s="4"/>
      <c r="B23" s="10" t="s">
        <v>5</v>
      </c>
      <c r="C23" s="11">
        <v>5.2</v>
      </c>
      <c r="D23" s="11">
        <v>15.7</v>
      </c>
      <c r="E23" s="11">
        <v>25.7</v>
      </c>
      <c r="F23" s="11">
        <v>13.3</v>
      </c>
      <c r="G23" s="12"/>
    </row>
    <row r="24">
      <c r="A24" s="4"/>
      <c r="B24" s="10" t="s">
        <v>6</v>
      </c>
      <c r="C24" s="11">
        <v>4.9</v>
      </c>
      <c r="D24" s="11">
        <v>15.8</v>
      </c>
      <c r="E24" s="11">
        <v>25.9</v>
      </c>
      <c r="F24" s="11">
        <v>13.0</v>
      </c>
      <c r="G24" s="12"/>
    </row>
    <row r="25">
      <c r="A25" s="4"/>
      <c r="B25" s="10" t="s">
        <v>7</v>
      </c>
      <c r="C25" s="11">
        <v>4.2</v>
      </c>
      <c r="D25" s="11">
        <v>14.1</v>
      </c>
      <c r="E25" s="11">
        <v>25.8</v>
      </c>
      <c r="F25" s="11">
        <v>11.8</v>
      </c>
      <c r="G25" s="12"/>
    </row>
    <row r="26">
      <c r="A26" s="4"/>
      <c r="B26" s="10" t="s">
        <v>8</v>
      </c>
      <c r="C26" s="11">
        <v>4.6</v>
      </c>
      <c r="D26" s="11">
        <v>15.9</v>
      </c>
      <c r="E26" s="11">
        <v>25.9</v>
      </c>
      <c r="F26" s="11">
        <v>12.3</v>
      </c>
      <c r="G26" s="12"/>
    </row>
    <row r="27">
      <c r="A27" s="4"/>
      <c r="B27" s="10" t="s">
        <v>9</v>
      </c>
      <c r="C27" s="11">
        <v>5.6</v>
      </c>
      <c r="D27" s="11">
        <v>15.5</v>
      </c>
      <c r="E27" s="11">
        <v>23.9</v>
      </c>
      <c r="F27" s="11">
        <v>11.9</v>
      </c>
      <c r="G27" s="12"/>
    </row>
    <row r="28">
      <c r="A28" s="4"/>
      <c r="B28" s="10" t="s">
        <v>10</v>
      </c>
      <c r="C28" s="11">
        <v>3.1</v>
      </c>
      <c r="D28" s="11">
        <v>12.4</v>
      </c>
      <c r="E28" s="11">
        <v>21.6</v>
      </c>
      <c r="F28" s="11">
        <v>9.2</v>
      </c>
      <c r="G28" s="12"/>
    </row>
    <row r="29">
      <c r="A29" s="4"/>
      <c r="B29" s="10" t="s">
        <v>11</v>
      </c>
      <c r="C29" s="11">
        <v>3.3</v>
      </c>
      <c r="D29" s="11">
        <v>13.5</v>
      </c>
      <c r="E29" s="11">
        <v>22.9</v>
      </c>
      <c r="F29" s="11">
        <v>9.5</v>
      </c>
      <c r="G29" s="12"/>
    </row>
    <row r="30">
      <c r="A30" s="4"/>
      <c r="B30" s="10" t="s">
        <v>12</v>
      </c>
      <c r="C30" s="11">
        <v>3.8</v>
      </c>
      <c r="D30" s="11">
        <v>15.0</v>
      </c>
      <c r="E30" s="11">
        <v>23.3</v>
      </c>
      <c r="F30" s="11">
        <v>10.2</v>
      </c>
      <c r="G30" s="12"/>
    </row>
    <row r="31">
      <c r="A31" s="4"/>
      <c r="B31" s="13" t="s">
        <v>13</v>
      </c>
      <c r="C31" s="14">
        <v>3.7</v>
      </c>
      <c r="D31" s="14">
        <v>14.1</v>
      </c>
      <c r="E31" s="14">
        <v>22.0</v>
      </c>
      <c r="F31" s="14">
        <v>9.3</v>
      </c>
      <c r="G31" s="12"/>
    </row>
    <row r="32">
      <c r="A32" s="4"/>
      <c r="B32" s="15" t="s">
        <v>14</v>
      </c>
      <c r="C32" s="16">
        <v>4.1</v>
      </c>
      <c r="D32" s="16">
        <v>15.6</v>
      </c>
      <c r="E32" s="16">
        <v>21.2</v>
      </c>
      <c r="F32" s="16">
        <v>9.7</v>
      </c>
      <c r="G32" s="12"/>
    </row>
    <row r="33">
      <c r="A33" s="4"/>
      <c r="B33" s="15" t="s">
        <v>15</v>
      </c>
      <c r="C33" s="16">
        <v>4.6688051830633315</v>
      </c>
      <c r="D33" s="16">
        <v>15.508164390887972</v>
      </c>
      <c r="E33" s="16">
        <v>21.12707592271368</v>
      </c>
      <c r="F33" s="16">
        <v>9.883363616477913</v>
      </c>
      <c r="G33" s="12"/>
    </row>
    <row r="34">
      <c r="A34" s="4"/>
      <c r="B34" s="15" t="s">
        <v>16</v>
      </c>
      <c r="C34" s="16">
        <v>4.459055261899608</v>
      </c>
      <c r="D34" s="16">
        <v>15.091755161525533</v>
      </c>
      <c r="E34" s="16">
        <v>19.04683111403397</v>
      </c>
      <c r="F34" s="16">
        <v>9.211194139709226</v>
      </c>
      <c r="G34" s="12"/>
    </row>
    <row r="35">
      <c r="A35" s="4"/>
      <c r="B35" s="15" t="s">
        <v>17</v>
      </c>
      <c r="C35" s="16">
        <v>4.040312573654803</v>
      </c>
      <c r="D35" s="16">
        <v>15.340041489508154</v>
      </c>
      <c r="E35" s="16">
        <v>18.723642537115488</v>
      </c>
      <c r="F35" s="16">
        <v>8.989761968096161</v>
      </c>
      <c r="G35" s="12"/>
    </row>
    <row r="36">
      <c r="A36" s="4"/>
      <c r="B36" s="15" t="s">
        <v>18</v>
      </c>
      <c r="C36" s="17">
        <v>3.9991450490005462</v>
      </c>
      <c r="D36" s="17">
        <v>15.447117030255047</v>
      </c>
      <c r="E36" s="17">
        <v>19.400873802865856</v>
      </c>
      <c r="F36" s="17">
        <v>8.912200201862527</v>
      </c>
      <c r="G36" s="12"/>
    </row>
    <row r="37">
      <c r="A37" s="4"/>
      <c r="B37" s="15" t="s">
        <v>19</v>
      </c>
      <c r="C37" s="17">
        <v>4.466110342281981</v>
      </c>
      <c r="D37" s="17">
        <v>16.01651373587209</v>
      </c>
      <c r="E37" s="17">
        <v>18.07474060963848</v>
      </c>
      <c r="F37" s="17">
        <v>9.064129176043874</v>
      </c>
      <c r="G37" s="12"/>
    </row>
    <row r="38">
      <c r="A38" s="4"/>
      <c r="B38" s="15" t="s">
        <v>20</v>
      </c>
      <c r="C38" s="17">
        <v>4.402514406208449</v>
      </c>
      <c r="D38" s="17">
        <v>16.68958480236788</v>
      </c>
      <c r="E38" s="17">
        <v>18.265443295822106</v>
      </c>
      <c r="F38" s="17">
        <v>9.098264559408241</v>
      </c>
      <c r="G38" s="12"/>
    </row>
    <row r="39">
      <c r="A39" s="4"/>
      <c r="B39" s="15" t="s">
        <v>21</v>
      </c>
      <c r="C39" s="17">
        <v>4.717040233647006</v>
      </c>
      <c r="D39" s="17">
        <v>17.996299374192592</v>
      </c>
      <c r="E39" s="17">
        <v>19.494707848575214</v>
      </c>
      <c r="F39" s="17">
        <v>9.566215520820593</v>
      </c>
      <c r="G39" s="12"/>
    </row>
    <row r="40">
      <c r="A40" s="4"/>
      <c r="B40" s="15" t="s">
        <v>22</v>
      </c>
      <c r="C40" s="17">
        <v>4.892858656775003</v>
      </c>
      <c r="D40" s="17">
        <v>18.087006091416125</v>
      </c>
      <c r="E40" s="17">
        <v>20.783312642332376</v>
      </c>
      <c r="F40" s="17">
        <v>9.796263544465187</v>
      </c>
      <c r="G40" s="12"/>
    </row>
    <row r="41">
      <c r="A41" s="4"/>
      <c r="B41" s="15" t="s">
        <v>23</v>
      </c>
      <c r="C41" s="17">
        <v>4.8446618090083335</v>
      </c>
      <c r="D41" s="17">
        <v>18.66684102393744</v>
      </c>
      <c r="E41" s="17">
        <v>19.496069421911947</v>
      </c>
      <c r="F41" s="17">
        <v>9.667588911119772</v>
      </c>
      <c r="G41" s="12"/>
    </row>
    <row r="42">
      <c r="A42" s="4"/>
      <c r="B42" s="15" t="s">
        <v>24</v>
      </c>
      <c r="C42" s="17">
        <v>5.210553055354344</v>
      </c>
      <c r="D42" s="17">
        <v>21.019095096542248</v>
      </c>
      <c r="E42" s="17">
        <v>26.62496236881382</v>
      </c>
      <c r="F42" s="17">
        <v>11.054167891112698</v>
      </c>
      <c r="G42" s="12"/>
    </row>
    <row r="43">
      <c r="A43" s="4"/>
      <c r="B43" s="15" t="s">
        <v>25</v>
      </c>
      <c r="C43" s="17">
        <v>5.048177608653579</v>
      </c>
      <c r="D43" s="17">
        <v>21.113783281877673</v>
      </c>
      <c r="E43" s="17">
        <v>26.677906214856854</v>
      </c>
      <c r="F43" s="17">
        <v>10.79395999680238</v>
      </c>
      <c r="G43" s="12"/>
    </row>
    <row r="44">
      <c r="A44" s="4"/>
      <c r="B44" s="15" t="s">
        <v>26</v>
      </c>
      <c r="C44" s="17">
        <v>5.483403332843982</v>
      </c>
      <c r="D44" s="17">
        <v>22.141111665925536</v>
      </c>
      <c r="E44" s="17">
        <v>27.21599898851721</v>
      </c>
      <c r="F44" s="17">
        <v>11.5372496664952</v>
      </c>
      <c r="G44" s="12"/>
    </row>
    <row r="45">
      <c r="A45" s="4"/>
      <c r="B45" s="15" t="s">
        <v>27</v>
      </c>
      <c r="C45" s="17">
        <v>5.450319642153536</v>
      </c>
      <c r="D45" s="17">
        <v>22.174547345780223</v>
      </c>
      <c r="E45" s="17">
        <v>26.479188760407514</v>
      </c>
      <c r="F45" s="17">
        <v>11.323715807056821</v>
      </c>
      <c r="G45" s="12"/>
    </row>
    <row r="46">
      <c r="A46" s="4"/>
      <c r="B46" s="15" t="s">
        <v>28</v>
      </c>
      <c r="C46" s="17">
        <v>6.279007635417634</v>
      </c>
      <c r="D46" s="17">
        <v>24.086211470200254</v>
      </c>
      <c r="E46" s="17">
        <v>26.844542150573954</v>
      </c>
      <c r="F46" s="17">
        <v>12.257910777689624</v>
      </c>
      <c r="G46" s="12"/>
    </row>
    <row r="47">
      <c r="A47" s="4"/>
      <c r="B47" s="15" t="s">
        <v>29</v>
      </c>
      <c r="C47" s="17">
        <v>7.003721432665935</v>
      </c>
      <c r="D47" s="17">
        <v>26.68249024967043</v>
      </c>
      <c r="E47" s="17">
        <v>28.900159146553</v>
      </c>
      <c r="F47" s="17">
        <v>13.392940023570855</v>
      </c>
      <c r="G47" s="12"/>
    </row>
    <row r="48">
      <c r="A48" s="4"/>
      <c r="B48" s="15" t="s">
        <v>30</v>
      </c>
      <c r="C48" s="17">
        <v>8.019802564818479</v>
      </c>
      <c r="D48" s="17">
        <v>26.91026758931133</v>
      </c>
      <c r="E48" s="17">
        <v>27.607376725879536</v>
      </c>
      <c r="F48" s="17">
        <v>13.830202302812353</v>
      </c>
      <c r="G48" s="12"/>
    </row>
    <row r="49">
      <c r="A49" s="18"/>
      <c r="B49" s="19" t="s">
        <v>31</v>
      </c>
      <c r="C49" s="20"/>
      <c r="D49" s="20"/>
      <c r="E49" s="20"/>
      <c r="F49" s="21"/>
      <c r="G49" s="18"/>
    </row>
  </sheetData>
  <mergeCells count="1">
    <mergeCell ref="B49:F4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 t="s">
        <v>32</v>
      </c>
      <c r="B1" s="23" t="s">
        <v>33</v>
      </c>
      <c r="C1" s="23" t="s">
        <v>34</v>
      </c>
      <c r="D1" s="23" t="s">
        <v>35</v>
      </c>
      <c r="E1" s="24" t="s">
        <v>36</v>
      </c>
      <c r="F1" s="25"/>
      <c r="G1" s="26" t="s">
        <v>0</v>
      </c>
      <c r="H1" s="23" t="s">
        <v>33</v>
      </c>
      <c r="I1" s="23" t="s">
        <v>34</v>
      </c>
      <c r="J1" s="23" t="s">
        <v>35</v>
      </c>
      <c r="K1" s="24" t="s">
        <v>36</v>
      </c>
    </row>
    <row r="2">
      <c r="A2" s="27" t="str">
        <f>IFERROR(__xludf.DUMMYFUNCTION("to_text(INDIRECT(""Trimestriel!B22""))"),"2025T3")</f>
        <v>2025T3</v>
      </c>
      <c r="B2" s="28" t="str">
        <f>IFERROR(__xludf.DUMMYFUNCTION("to_text(INDIRECT(""Trimestriel!C22""))"),"4,7")</f>
        <v>4,7</v>
      </c>
      <c r="C2" s="28" t="str">
        <f>IFERROR(__xludf.DUMMYFUNCTION("to_text(INDIRECT(""Trimestriel!D22""))"),"14,5")</f>
        <v>14,5</v>
      </c>
      <c r="D2" s="28" t="str">
        <f>IFERROR(__xludf.DUMMYFUNCTION("to_text(INDIRECT(""Trimestriel!E22""))"),"25,7")</f>
        <v>25,7</v>
      </c>
      <c r="E2" s="28" t="str">
        <f>IFERROR(__xludf.DUMMYFUNCTION("to_text(INDIRECT(""Trimestriel!F22""))"),"13,1")</f>
        <v>13,1</v>
      </c>
      <c r="F2" s="25"/>
      <c r="G2" s="27" t="str">
        <f>IFERROR(__xludf.DUMMYFUNCTION("to_text(INDIRECT(""Annuel!B23""))"),"2024")</f>
        <v>2024</v>
      </c>
      <c r="H2" s="28" t="str">
        <f>IFERROR(__xludf.DUMMYFUNCTION("to_text(INDIRECT(""Annuel!C23""))"),"5,2")</f>
        <v>5,2</v>
      </c>
      <c r="I2" s="28" t="str">
        <f>IFERROR(__xludf.DUMMYFUNCTION("to_text(INDIRECT(""Annuel!D23""))"),"15,7")</f>
        <v>15,7</v>
      </c>
      <c r="J2" s="28" t="str">
        <f>IFERROR(__xludf.DUMMYFUNCTION("to_text(INDIRECT(""Annuel!E23""))"),"25,7")</f>
        <v>25,7</v>
      </c>
      <c r="K2" s="28" t="str">
        <f>IFERROR(__xludf.DUMMYFUNCTION("to_text(INDIRECT(""Annuel!F23""))"),"13,3")</f>
        <v>13,3</v>
      </c>
    </row>
  </sheetData>
  <drawing r:id="rId1"/>
</worksheet>
</file>